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fferv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color rgb="0000000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2F4F8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0" fontId="5" fillId="0" borderId="0" pivotButton="0" quotePrefix="0" xfId="0"/>
    <xf numFmtId="4" fontId="3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6" customWidth="1" min="4" max="4"/>
    <col width="22" customWidth="1" min="5" max="5"/>
  </cols>
  <sheetData>
    <row r="1">
      <c r="A1" s="1" t="inlineStr">
        <is>
          <t>Product</t>
        </is>
      </c>
      <c r="B1" s="1" t="inlineStr">
        <is>
          <t>Volume (L)</t>
        </is>
      </c>
      <c r="C1" s="1" t="inlineStr">
        <is>
          <t>CAPEX (EUR)</t>
        </is>
      </c>
      <c r="D1" s="1" t="inlineStr">
        <is>
          <t>CAPEX/L (EUR/L)</t>
        </is>
      </c>
      <c r="E1" s="1" t="inlineStr">
        <is>
          <t>Standby loss (kWh/24h)</t>
        </is>
      </c>
    </row>
    <row r="2">
      <c r="A2" s="2" t="inlineStr">
        <is>
          <t>Buffervat 500L Vaillant AllStor Plus VPS 500/3-5</t>
        </is>
      </c>
      <c r="B2" s="3" t="n">
        <v>500</v>
      </c>
      <c r="C2" s="4" t="n">
        <v>1275</v>
      </c>
      <c r="D2" s="5">
        <f>C2/B2</f>
        <v/>
      </c>
      <c r="E2" s="8" t="n"/>
    </row>
    <row r="3">
      <c r="A3" s="2" t="inlineStr">
        <is>
          <t>Buffervat 800L Vaillant AllStor Plus VPS 800/3-5</t>
        </is>
      </c>
      <c r="B3" s="3" t="n">
        <v>800</v>
      </c>
      <c r="C3" s="4" t="n">
        <v>1495</v>
      </c>
      <c r="D3" s="5">
        <f>C3/B3</f>
        <v/>
      </c>
      <c r="E3" s="8" t="n"/>
    </row>
    <row r="4">
      <c r="A4" s="2" t="inlineStr">
        <is>
          <t>Buffervat 1000L Vaillant AllStor Plus VPS 1000/3-5</t>
        </is>
      </c>
      <c r="B4" s="3" t="n">
        <v>1000</v>
      </c>
      <c r="C4" s="4" t="n">
        <v>1585</v>
      </c>
      <c r="D4" s="5">
        <f>C4/B4</f>
        <v/>
      </c>
      <c r="E4" s="8" t="n"/>
    </row>
    <row r="5">
      <c r="A5" s="2" t="inlineStr">
        <is>
          <t>Vaillant AllStor Plus VPS 1500/3 Buffervat</t>
        </is>
      </c>
      <c r="B5" s="3" t="n">
        <v>1500</v>
      </c>
      <c r="C5" s="4" t="n">
        <v>2705</v>
      </c>
      <c r="D5" s="5">
        <f>C5/B5</f>
        <v/>
      </c>
      <c r="E5" s="8" t="n"/>
    </row>
    <row r="6">
      <c r="A6" s="2" t="inlineStr">
        <is>
          <t>Buffervat 2000L Vaillant AllStor Plus VPS 2000/3-5</t>
        </is>
      </c>
      <c r="B6" s="3" t="n">
        <v>2000</v>
      </c>
      <c r="C6" s="4" t="n">
        <v>2590</v>
      </c>
      <c r="D6" s="5">
        <f>C6/B6</f>
        <v/>
      </c>
      <c r="E6" s="8" t="n"/>
    </row>
    <row r="7">
      <c r="A7" s="2" t="inlineStr">
        <is>
          <t>Buffervat 300L Vaillant AllStor Exclusive VPS 300/3-7</t>
        </is>
      </c>
      <c r="B7" s="3" t="n">
        <v>300</v>
      </c>
      <c r="C7" s="4" t="n">
        <v>1415</v>
      </c>
      <c r="D7" s="5">
        <f>C7/B7</f>
        <v/>
      </c>
      <c r="E7" s="8" t="n"/>
    </row>
    <row r="8">
      <c r="A8" s="2" t="inlineStr">
        <is>
          <t>Buffervat 500L Vaillant AllStor Exclusive VPS 500/3-7</t>
        </is>
      </c>
      <c r="B8" s="3" t="n">
        <v>500</v>
      </c>
      <c r="C8" s="4" t="n">
        <v>1575</v>
      </c>
      <c r="D8" s="5">
        <f>C8/B8</f>
        <v/>
      </c>
      <c r="E8" s="8" t="n"/>
    </row>
    <row r="9">
      <c r="A9" s="2" t="inlineStr">
        <is>
          <t>Buffervat 800L Vaillant AllStor Exclusive VPS 800/3-7</t>
        </is>
      </c>
      <c r="B9" s="3" t="n">
        <v>800</v>
      </c>
      <c r="C9" s="4" t="n">
        <v>1865</v>
      </c>
      <c r="D9" s="5">
        <f>C9/B9</f>
        <v/>
      </c>
      <c r="E9" s="8" t="n"/>
    </row>
    <row r="10">
      <c r="A10" s="2" t="inlineStr">
        <is>
          <t>Buffervat 1000L Vaillant AllStor Exclusive VPS 1000/3-7</t>
        </is>
      </c>
      <c r="B10" s="3" t="n">
        <v>1000</v>
      </c>
      <c r="C10" s="4" t="n">
        <v>2090</v>
      </c>
      <c r="D10" s="5">
        <f>C10/B10</f>
        <v/>
      </c>
      <c r="E10" s="8" t="n"/>
    </row>
    <row r="11">
      <c r="A11" s="2" t="inlineStr">
        <is>
          <t>Buffervat 1500L Vaillant AllStor Exclusive VPS 1500/3-7</t>
        </is>
      </c>
      <c r="B11" s="3" t="n">
        <v>1500</v>
      </c>
      <c r="C11" s="4" t="n">
        <v>2825</v>
      </c>
      <c r="D11" s="5">
        <f>C11/B11</f>
        <v/>
      </c>
      <c r="E11" s="8" t="n"/>
    </row>
    <row r="12">
      <c r="A12" s="2" t="inlineStr">
        <is>
          <t>Buffervat 2000L Vaillant AllStor Exclusive VPS 2000/3-7</t>
        </is>
      </c>
      <c r="B12" s="3" t="n">
        <v>2000</v>
      </c>
      <c r="C12" s="4" t="n">
        <v>3015</v>
      </c>
      <c r="D12" s="5">
        <f>C12/B12</f>
        <v/>
      </c>
      <c r="E12" s="8" t="n"/>
    </row>
    <row r="13">
      <c r="A13" s="2" t="inlineStr">
        <is>
          <t>Multifunctioneel buffervat 45L Vaillant VP RW 45/2 B</t>
        </is>
      </c>
      <c r="B13" s="3" t="n">
        <v>45</v>
      </c>
      <c r="C13" s="4" t="n">
        <v>630</v>
      </c>
      <c r="D13" s="5">
        <f>C13/B13</f>
        <v/>
      </c>
      <c r="E13" s="8" t="n"/>
    </row>
    <row r="14">
      <c r="A14" s="2" t="inlineStr">
        <is>
          <t>Buffervat 100L Vaillant VPS R 100/1 M</t>
        </is>
      </c>
      <c r="B14" s="3" t="n">
        <v>100</v>
      </c>
      <c r="C14" s="4" t="n">
        <v>665</v>
      </c>
      <c r="D14" s="5">
        <f>C14/B14</f>
        <v/>
      </c>
      <c r="E14" s="8" t="n"/>
    </row>
    <row r="15">
      <c r="A15" s="2" t="inlineStr">
        <is>
          <t>Buffervat 200L Vaillant VPS R 200/1 B</t>
        </is>
      </c>
      <c r="B15" s="3" t="n">
        <v>200</v>
      </c>
      <c r="C15" s="4" t="n">
        <v>695</v>
      </c>
      <c r="D15" s="5">
        <f>C15/B15</f>
        <v/>
      </c>
      <c r="E15" s="8" t="n"/>
    </row>
    <row r="16">
      <c r="A16" s="2" t="inlineStr">
        <is>
          <t>Buffervat 25L Remeha</t>
        </is>
      </c>
      <c r="B16" s="3" t="n">
        <v>25</v>
      </c>
      <c r="C16" s="4" t="n">
        <v>525</v>
      </c>
      <c r="D16" s="5">
        <f>C16/B16</f>
        <v/>
      </c>
      <c r="E16" s="8" t="n"/>
    </row>
    <row r="17">
      <c r="A17" s="2" t="inlineStr">
        <is>
          <t>Buffervat 50L Remeha</t>
        </is>
      </c>
      <c r="B17" s="3" t="n">
        <v>50</v>
      </c>
      <c r="C17" s="4" t="n">
        <v>505</v>
      </c>
      <c r="D17" s="5">
        <f>C17/B17</f>
        <v/>
      </c>
      <c r="E17" s="8" t="n"/>
    </row>
    <row r="18">
      <c r="A18" s="2" t="inlineStr">
        <is>
          <t>BST 50 Ehp</t>
        </is>
      </c>
      <c r="B18" s="3" t="n">
        <v>50</v>
      </c>
      <c r="C18" s="7" t="n">
        <v>468.34</v>
      </c>
      <c r="D18" s="5">
        <f>C18/B18</f>
        <v/>
      </c>
      <c r="E18" s="8" t="n"/>
    </row>
    <row r="19">
      <c r="A19" s="2" t="inlineStr">
        <is>
          <t>BH 120-5 1 A</t>
        </is>
      </c>
      <c r="B19" s="3" t="n">
        <v>120</v>
      </c>
      <c r="C19" s="7" t="n">
        <v>1141.28</v>
      </c>
      <c r="D19" s="5">
        <f>C19/B19</f>
        <v/>
      </c>
      <c r="E19" s="3" t="n">
        <v>0.9</v>
      </c>
    </row>
    <row r="20">
      <c r="A20" s="2" t="inlineStr">
        <is>
          <t>BH 120-5 1 B</t>
        </is>
      </c>
      <c r="B20" s="3" t="n">
        <v>120</v>
      </c>
      <c r="C20" s="7" t="n">
        <v>949.76</v>
      </c>
      <c r="D20" s="5">
        <f>C20/B20</f>
        <v/>
      </c>
      <c r="E20" s="3" t="n">
        <v>1.1</v>
      </c>
    </row>
    <row r="21">
      <c r="A21" s="2" t="inlineStr">
        <is>
          <t>BH 200-5 1 A</t>
        </is>
      </c>
      <c r="B21" s="3" t="n">
        <v>203</v>
      </c>
      <c r="C21" s="7" t="n">
        <v>1275.36</v>
      </c>
      <c r="D21" s="5">
        <f>C21/B21</f>
        <v/>
      </c>
      <c r="E21" s="3" t="n">
        <v>1</v>
      </c>
    </row>
    <row r="22">
      <c r="A22" s="2" t="inlineStr">
        <is>
          <t>BH 200-5 1 B</t>
        </is>
      </c>
      <c r="B22" s="3" t="n">
        <v>198</v>
      </c>
      <c r="C22" s="7" t="n">
        <v>1002.29</v>
      </c>
      <c r="D22" s="5">
        <f>C22/B22</f>
        <v/>
      </c>
      <c r="E22" s="3" t="n">
        <v>1.4</v>
      </c>
    </row>
    <row r="23">
      <c r="A23" s="2" t="inlineStr">
        <is>
          <t>BH 300-5 1 C</t>
        </is>
      </c>
      <c r="B23" s="3" t="n">
        <v>300</v>
      </c>
      <c r="C23" s="7" t="n">
        <v>1321.79</v>
      </c>
      <c r="D23" s="5">
        <f>C23/B23</f>
        <v/>
      </c>
      <c r="E23" s="3" t="n">
        <v>1.8</v>
      </c>
    </row>
    <row r="24">
      <c r="A24" s="2" t="inlineStr">
        <is>
          <t>Vitocell 100-E SVPA 46L (Viessmann)</t>
        </is>
      </c>
      <c r="B24" s="3" t="n">
        <v>46</v>
      </c>
      <c r="C24" s="7" t="n">
        <v>647</v>
      </c>
      <c r="D24" s="5">
        <f>C24/B24</f>
        <v/>
      </c>
    </row>
    <row r="25">
      <c r="A25" s="2" t="inlineStr">
        <is>
          <t>Vitocell 100-E MSCA 50L (Viessmann)</t>
        </is>
      </c>
      <c r="B25" s="3" t="n">
        <v>50</v>
      </c>
      <c r="C25" s="7" t="n">
        <v>671</v>
      </c>
      <c r="D25" s="5">
        <f>C25/B25</f>
        <v/>
      </c>
    </row>
    <row r="26">
      <c r="A26" s="2" t="inlineStr">
        <is>
          <t>Vitocell 100-E MSCA 75L (Viessmann)</t>
        </is>
      </c>
      <c r="B26" s="3" t="n">
        <v>75</v>
      </c>
      <c r="C26" s="7" t="n">
        <v>843</v>
      </c>
      <c r="D26" s="5">
        <f>C26/B26</f>
        <v/>
      </c>
    </row>
    <row r="27">
      <c r="A27" s="2" t="inlineStr">
        <is>
          <t>Vitocell 100-E SVWA 200L (Viessmann)</t>
        </is>
      </c>
      <c r="B27" s="3" t="n">
        <v>200</v>
      </c>
      <c r="C27" s="7" t="n">
        <v>1343</v>
      </c>
      <c r="D27" s="5">
        <f>C27/B27</f>
        <v/>
      </c>
    </row>
    <row r="28">
      <c r="A28" s="2" t="inlineStr">
        <is>
          <t>Vitocell 100-E SVPB 400L (Viessmann)</t>
        </is>
      </c>
      <c r="B28" s="3" t="n">
        <v>400</v>
      </c>
      <c r="C28" s="7" t="n">
        <v>1591</v>
      </c>
      <c r="D28" s="5">
        <f>C28/B28</f>
        <v/>
      </c>
    </row>
    <row r="29">
      <c r="A29" s="2" t="inlineStr">
        <is>
          <t>Vitocell 100-E SVPB 600L (Viessmann)</t>
        </is>
      </c>
      <c r="B29" s="3" t="n">
        <v>600</v>
      </c>
      <c r="C29" s="7" t="n">
        <v>1905</v>
      </c>
      <c r="D29" s="5">
        <f>C29/B29</f>
        <v/>
      </c>
    </row>
    <row r="30">
      <c r="A30" s="2" t="inlineStr">
        <is>
          <t>Vitocell 100-E SVPB 750L (Viessmann)</t>
        </is>
      </c>
      <c r="B30" s="3" t="n">
        <v>750</v>
      </c>
      <c r="C30" s="7" t="n">
        <v>2212</v>
      </c>
      <c r="D30" s="5">
        <f>C30/B30</f>
        <v/>
      </c>
    </row>
    <row r="31">
      <c r="A31" s="2" t="inlineStr">
        <is>
          <t>Vitocell 100-E SVPB 910L (Viessmann)</t>
        </is>
      </c>
      <c r="B31" s="3" t="n">
        <v>910</v>
      </c>
      <c r="C31" s="7" t="n">
        <v>2566</v>
      </c>
      <c r="D31" s="5">
        <f>C31/B31</f>
        <v/>
      </c>
    </row>
    <row r="32">
      <c r="A32" s="2" t="inlineStr">
        <is>
          <t>Vitocell 100-E SVPC 1500L (Viessmann)</t>
        </is>
      </c>
      <c r="B32" s="3" t="n">
        <v>1500</v>
      </c>
      <c r="C32" s="7" t="n">
        <v>2937</v>
      </c>
      <c r="D32" s="5">
        <f>C32/B32</f>
        <v/>
      </c>
    </row>
    <row r="33">
      <c r="A33" s="2" t="inlineStr">
        <is>
          <t>Vitocell 100-E SVPC 2000L (Viessmann)</t>
        </is>
      </c>
      <c r="B33" s="3" t="n">
        <v>2000</v>
      </c>
      <c r="C33" s="7" t="n">
        <v>3700</v>
      </c>
      <c r="D33" s="5">
        <f>C33/B33</f>
        <v/>
      </c>
    </row>
    <row r="34">
      <c r="A34" s="2" t="inlineStr">
        <is>
          <t>Vitocell 140-E SEIC 600L (Viessmann)</t>
        </is>
      </c>
      <c r="B34" s="3" t="n">
        <v>600</v>
      </c>
      <c r="C34" s="7" t="n">
        <v>2287</v>
      </c>
      <c r="D34" s="5">
        <f>C34/B34</f>
        <v/>
      </c>
    </row>
    <row r="35">
      <c r="A35" s="2" t="inlineStr">
        <is>
          <t>Vitocell 140-E SEIC 750L (Viessmann)</t>
        </is>
      </c>
      <c r="B35" s="3" t="n">
        <v>750</v>
      </c>
      <c r="C35" s="7" t="n">
        <v>2685</v>
      </c>
      <c r="D35" s="5">
        <f>C35/B35</f>
        <v/>
      </c>
    </row>
    <row r="36">
      <c r="A36" s="2" t="inlineStr">
        <is>
          <t>Vitocell 140-E SEIC 950L (Viessmann)</t>
        </is>
      </c>
      <c r="B36" s="3" t="n">
        <v>950</v>
      </c>
      <c r="C36" s="7" t="n">
        <v>3217</v>
      </c>
      <c r="D36" s="5">
        <f>C36/B36</f>
        <v/>
      </c>
    </row>
    <row r="37">
      <c r="A37" s="2" t="inlineStr">
        <is>
          <t>Vitocell 160-E SESB 750L (Viessmann)</t>
        </is>
      </c>
      <c r="B37" s="3" t="n">
        <v>750</v>
      </c>
      <c r="C37" s="7" t="n">
        <v>3836</v>
      </c>
      <c r="D37" s="5">
        <f>C37/B37</f>
        <v/>
      </c>
    </row>
    <row r="38">
      <c r="A38" s="2" t="inlineStr">
        <is>
          <t>Vitocell 160-E SESB 950L (Viessmann)</t>
        </is>
      </c>
      <c r="B38" s="3" t="n">
        <v>950</v>
      </c>
      <c r="C38" s="7" t="n">
        <v>4870</v>
      </c>
      <c r="D38" s="5">
        <f>C38/B38</f>
        <v/>
      </c>
    </row>
    <row r="40">
      <c r="A40" s="6" t="inlineStr">
        <is>
          <t>Source: warmtepomp-shop.be + Bosch datasheet + Viessmann Prijslijst-catalogus BE 2025, April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2026-04-04T12:11:47Z</dcterms:created>
  <dcterms:modified xsi:type="dcterms:W3CDTF">2026-04-04T13:42:09Z</dcterms:modified>
</cp:coreProperties>
</file>